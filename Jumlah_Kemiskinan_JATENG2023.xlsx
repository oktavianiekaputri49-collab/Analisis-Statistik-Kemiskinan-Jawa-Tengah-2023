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1783EC17-F37B-489E-9DCF-B6E3E68B85EC}" xr6:coauthVersionLast="47" xr6:coauthVersionMax="47" xr10:uidLastSave="{00000000-0000-0000-0000-000000000000}"/>
  <bookViews>
    <workbookView xWindow="-110" yWindow="-110" windowWidth="19420" windowHeight="10300" xr2:uid="{8EC9EFAE-FD9E-4698-9028-E2EE0C241A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5" i="1" l="1"/>
  <c r="F4" i="1"/>
  <c r="D40" i="1"/>
  <c r="D39" i="1"/>
  <c r="E4" i="1"/>
  <c r="D4" i="1"/>
  <c r="D42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G4" i="1" l="1"/>
  <c r="F38" i="1"/>
  <c r="G38" i="1" s="1"/>
  <c r="E38" i="1"/>
  <c r="F37" i="1"/>
  <c r="G37" i="1" s="1"/>
  <c r="E37" i="1"/>
  <c r="F36" i="1"/>
  <c r="G36" i="1" s="1"/>
  <c r="E36" i="1"/>
  <c r="F35" i="1"/>
  <c r="G35" i="1" s="1"/>
  <c r="E35" i="1"/>
  <c r="F34" i="1"/>
  <c r="G34" i="1" s="1"/>
  <c r="E34" i="1"/>
  <c r="F33" i="1"/>
  <c r="G33" i="1" s="1"/>
  <c r="E33" i="1"/>
  <c r="F32" i="1"/>
  <c r="G32" i="1" s="1"/>
  <c r="E32" i="1"/>
  <c r="F31" i="1"/>
  <c r="G31" i="1" s="1"/>
  <c r="E31" i="1"/>
  <c r="F30" i="1"/>
  <c r="G30" i="1" s="1"/>
  <c r="E30" i="1"/>
  <c r="F29" i="1"/>
  <c r="G29" i="1" s="1"/>
  <c r="E29" i="1"/>
  <c r="F28" i="1"/>
  <c r="G28" i="1" s="1"/>
  <c r="E28" i="1"/>
  <c r="F27" i="1"/>
  <c r="G27" i="1" s="1"/>
  <c r="E27" i="1"/>
  <c r="F26" i="1"/>
  <c r="G26" i="1" s="1"/>
  <c r="E26" i="1"/>
  <c r="F25" i="1"/>
  <c r="G25" i="1" s="1"/>
  <c r="E25" i="1"/>
  <c r="F24" i="1"/>
  <c r="G24" i="1" s="1"/>
  <c r="E24" i="1"/>
  <c r="F23" i="1"/>
  <c r="G23" i="1" s="1"/>
  <c r="E23" i="1"/>
  <c r="F22" i="1"/>
  <c r="G22" i="1" s="1"/>
  <c r="E22" i="1"/>
  <c r="F21" i="1"/>
  <c r="G21" i="1" s="1"/>
  <c r="E21" i="1"/>
  <c r="F20" i="1"/>
  <c r="G20" i="1" s="1"/>
  <c r="E20" i="1"/>
  <c r="F19" i="1"/>
  <c r="G19" i="1" s="1"/>
  <c r="E19" i="1"/>
  <c r="F18" i="1"/>
  <c r="G18" i="1" s="1"/>
  <c r="E18" i="1"/>
  <c r="F17" i="1"/>
  <c r="G17" i="1" s="1"/>
  <c r="E17" i="1"/>
  <c r="F16" i="1"/>
  <c r="G16" i="1" s="1"/>
  <c r="E16" i="1"/>
  <c r="F15" i="1"/>
  <c r="G15" i="1" s="1"/>
  <c r="E15" i="1"/>
  <c r="F14" i="1"/>
  <c r="G14" i="1" s="1"/>
  <c r="E14" i="1"/>
  <c r="F13" i="1"/>
  <c r="G13" i="1" s="1"/>
  <c r="E13" i="1"/>
  <c r="F12" i="1"/>
  <c r="G12" i="1" s="1"/>
  <c r="E12" i="1"/>
  <c r="F11" i="1"/>
  <c r="G11" i="1" s="1"/>
  <c r="E11" i="1"/>
  <c r="F10" i="1"/>
  <c r="G10" i="1" s="1"/>
  <c r="E10" i="1"/>
  <c r="F9" i="1"/>
  <c r="G9" i="1" s="1"/>
  <c r="E9" i="1"/>
  <c r="F8" i="1"/>
  <c r="G8" i="1" s="1"/>
  <c r="E8" i="1"/>
  <c r="F7" i="1"/>
  <c r="G7" i="1" s="1"/>
  <c r="E7" i="1"/>
  <c r="F6" i="1"/>
  <c r="G6" i="1" s="1"/>
  <c r="E6" i="1"/>
  <c r="F5" i="1"/>
  <c r="G5" i="1" s="1"/>
  <c r="E5" i="1"/>
  <c r="D43" i="1" l="1"/>
  <c r="D44" i="1" s="1"/>
  <c r="D41" i="1"/>
</calcChain>
</file>

<file path=xl/sharedStrings.xml><?xml version="1.0" encoding="utf-8"?>
<sst xmlns="http://schemas.openxmlformats.org/spreadsheetml/2006/main" count="50" uniqueCount="45">
  <si>
    <t>Proporsi</t>
  </si>
  <si>
    <t>xi-xbar</t>
  </si>
  <si>
    <t>(xi-xbar)^2</t>
  </si>
  <si>
    <t>Jumlah Kemiskinan di Jawa Tengah Tahun 2023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</si>
  <si>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</si>
  <si>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</si>
  <si>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</si>
  <si>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</si>
  <si>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</si>
  <si>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</si>
  <si>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</si>
  <si>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</si>
  <si>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</si>
  <si>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</si>
  <si>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</si>
  <si>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</si>
  <si>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</si>
  <si>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</si>
  <si>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</si>
  <si>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</si>
  <si>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</si>
  <si>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</si>
  <si>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</si>
  <si>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</si>
  <si>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</si>
  <si>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</si>
  <si>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</si>
  <si>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</si>
  <si>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</si>
  <si>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</si>
  <si>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</si>
  <si>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</si>
  <si>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</si>
  <si>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Surakarta</t>
  </si>
  <si>
    <t>Salatiga</t>
  </si>
  <si>
    <t>Total</t>
  </si>
  <si>
    <t>Rata-rata</t>
  </si>
  <si>
    <t>Total Proporsi</t>
  </si>
  <si>
    <t>Total S^2</t>
  </si>
  <si>
    <t>S^2</t>
  </si>
  <si>
    <t>q</t>
  </si>
  <si>
    <t>Kabupaten/
Kota</t>
  </si>
  <si>
    <t>Jumlah 
Penduduk (Jiwa)</t>
  </si>
  <si>
    <t>Persentase 
Kemiskinan</t>
  </si>
  <si>
    <t>Kemiskinan 
(Ribuan)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</si>
</sst>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164" fontId="3" fillId="0" borderId="0" xfId="1" applyNumberFormat="1" applyFont="1"/>
    <xf numFmtId="2" fontId="3" fillId="0" borderId="0" xfId="0" applyNumberFormat="1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43" fontId="3" fillId="0" borderId="1" xfId="1" applyFont="1" applyBorder="1"/>
    <xf numFmtId="43" fontId="3" fillId="0" borderId="1" xfId="0" applyNumberFormat="1" applyFont="1" applyBorder="1"/>
    <xf numFmtId="2" fontId="2" fillId="0" borderId="0" xfId="0" applyNumberFormat="1" applyFont="1"/>
    <xf numFmtId="43" fontId="2" fillId="0" borderId="0" xfId="1" applyFont="1"/>
    <xf numFmtId="43" fontId="2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52B92-358C-445B-BF2A-CFC7DAF6D2E1}">
  <dimension ref="A1:G45"/>
  <sheetViews>
    <sheetView tabSelected="1" workbookViewId="0">
      <selection activeCell="A3" sqref="A3:G3"/>
    </sheetView>
  </sheetViews>
  <sheetFormatPr defaultRowHeight="15.5" x14ac:dyDescent="0.35"/>
  <cols>
    <col min="1" max="1" width="12.36328125" style="4" customWidth="1"/>
    <col min="2" max="2" width="18.1796875" style="4" customWidth="1"/>
    <col min="3" max="3" width="14.6328125" style="4" customWidth="1"/>
    <col min="4" max="4" width="14.453125" style="4" customWidth="1"/>
    <col min="5" max="5" width="10.453125" style="4" bestFit="1" customWidth="1"/>
    <col min="6" max="6" width="9.6328125" style="4" customWidth="1"/>
    <col min="7" max="7" width="11.453125" style="4" bestFit="1" customWidth="1"/>
    <col min="8" max="16384" width="8.7265625" style="4"/>
  </cols>
  <sheetData>
    <row r="1" spans="1:7" x14ac:dyDescent="0.35">
      <c r="A1" s="1" t="s">
        <v>3</v>
      </c>
      <c r="B1" s="2"/>
      <c r="C1" s="3"/>
    </row>
    <row r="2" spans="1:7" x14ac:dyDescent="0.35">
      <c r="B2" s="2"/>
      <c r="C2" s="3"/>
    </row>
    <row r="3" spans="1:7" ht="30" x14ac:dyDescent="0.35">
      <c r="A3" s="12" t="s">
        <v>41</v>
      </c>
      <c r="B3" s="13" t="s">
        <v>42</v>
      </c>
      <c r="C3" s="14" t="s">
        <v>43</v>
      </c>
      <c r="D3" s="15" t="s">
        <v>44</v>
      </c>
      <c r="E3" s="16" t="s">
        <v>0</v>
      </c>
      <c r="F3" s="17" t="s">
        <v>1</v>
      </c>
      <c r="G3" s="17" t="s">
        <v>2</v>
      </c>
    </row>
    <row r="4" spans="1:7" x14ac:dyDescent="0.35">
      <c r="A4" s="5" t="s">
        <v>4</v>
      </c>
      <c r="B4" s="5">
        <v>191</v>
      </c>
      <c r="C4" s="6">
        <v>10.99</v>
      </c>
      <c r="D4" s="7">
        <f>C4*B4/100</f>
        <v>20.9909</v>
      </c>
      <c r="E4" s="8">
        <f>D4/B4</f>
        <v>0.1099</v>
      </c>
      <c r="F4" s="8">
        <f>D4-$D$40</f>
        <v>8.272621799999996</v>
      </c>
      <c r="G4" s="8">
        <f>F4^2</f>
        <v>68.436271445835175</v>
      </c>
    </row>
    <row r="5" spans="1:7" x14ac:dyDescent="0.35">
      <c r="A5" s="5" t="s">
        <v>5</v>
      </c>
      <c r="B5" s="5">
        <v>216.5</v>
      </c>
      <c r="C5" s="6">
        <v>12.53</v>
      </c>
      <c r="D5" s="7">
        <f t="shared" ref="D5:D38" si="0">C5*B5/100</f>
        <v>27.12745</v>
      </c>
      <c r="E5" s="8">
        <f t="shared" ref="E5:E38" si="1">D5/B5</f>
        <v>0.12529999999999999</v>
      </c>
      <c r="F5" s="8">
        <f t="shared" ref="F5:F38" si="2">D5-$D$40</f>
        <v>14.409171799999996</v>
      </c>
      <c r="G5" s="8">
        <f t="shared" ref="G5:G38" si="3">F5^2</f>
        <v>207.62423196191511</v>
      </c>
    </row>
    <row r="6" spans="1:7" x14ac:dyDescent="0.35">
      <c r="A6" s="5" t="s">
        <v>6</v>
      </c>
      <c r="B6" s="5">
        <v>143.41</v>
      </c>
      <c r="C6" s="6">
        <v>14.99</v>
      </c>
      <c r="D6" s="7">
        <f t="shared" si="0"/>
        <v>21.497159</v>
      </c>
      <c r="E6" s="8">
        <f t="shared" si="1"/>
        <v>0.14990000000000001</v>
      </c>
      <c r="F6" s="8">
        <f t="shared" si="2"/>
        <v>8.778880799999996</v>
      </c>
      <c r="G6" s="8">
        <f t="shared" si="3"/>
        <v>77.068748100608573</v>
      </c>
    </row>
    <row r="7" spans="1:7" x14ac:dyDescent="0.35">
      <c r="A7" s="5" t="s">
        <v>7</v>
      </c>
      <c r="B7" s="5">
        <v>138.99</v>
      </c>
      <c r="C7" s="6">
        <v>14.9</v>
      </c>
      <c r="D7" s="7">
        <f t="shared" si="0"/>
        <v>20.709510000000002</v>
      </c>
      <c r="E7" s="8">
        <f t="shared" si="1"/>
        <v>0.14899999999999999</v>
      </c>
      <c r="F7" s="8">
        <f t="shared" si="2"/>
        <v>7.9912317999999978</v>
      </c>
      <c r="G7" s="8">
        <f t="shared" si="3"/>
        <v>63.859785681331203</v>
      </c>
    </row>
    <row r="8" spans="1:7" x14ac:dyDescent="0.35">
      <c r="A8" s="5" t="s">
        <v>8</v>
      </c>
      <c r="B8" s="5">
        <v>195.45</v>
      </c>
      <c r="C8" s="6">
        <v>16.34</v>
      </c>
      <c r="D8" s="7">
        <f t="shared" si="0"/>
        <v>31.936529999999998</v>
      </c>
      <c r="E8" s="8">
        <f t="shared" si="1"/>
        <v>0.16339999999999999</v>
      </c>
      <c r="F8" s="8">
        <f t="shared" si="2"/>
        <v>19.218251799999994</v>
      </c>
      <c r="G8" s="8">
        <f t="shared" si="3"/>
        <v>369.34120224820299</v>
      </c>
    </row>
    <row r="9" spans="1:7" x14ac:dyDescent="0.35">
      <c r="A9" s="5" t="s">
        <v>9</v>
      </c>
      <c r="B9" s="5">
        <v>81.28</v>
      </c>
      <c r="C9" s="6">
        <v>11.33</v>
      </c>
      <c r="D9" s="7">
        <f t="shared" si="0"/>
        <v>9.2090240000000012</v>
      </c>
      <c r="E9" s="8">
        <f t="shared" si="1"/>
        <v>0.11330000000000001</v>
      </c>
      <c r="F9" s="8">
        <f t="shared" si="2"/>
        <v>-3.5092542000000027</v>
      </c>
      <c r="G9" s="8">
        <f t="shared" si="3"/>
        <v>12.314865040217658</v>
      </c>
    </row>
    <row r="10" spans="1:7" x14ac:dyDescent="0.35">
      <c r="A10" s="5" t="s">
        <v>10</v>
      </c>
      <c r="B10" s="5">
        <v>123.7</v>
      </c>
      <c r="C10" s="6">
        <v>15.58</v>
      </c>
      <c r="D10" s="7">
        <f t="shared" si="0"/>
        <v>19.272460000000002</v>
      </c>
      <c r="E10" s="8">
        <f t="shared" si="1"/>
        <v>0.15580000000000002</v>
      </c>
      <c r="F10" s="8">
        <f t="shared" si="2"/>
        <v>6.5541817999999985</v>
      </c>
      <c r="G10" s="8">
        <f t="shared" si="3"/>
        <v>42.957299067451217</v>
      </c>
    </row>
    <row r="11" spans="1:7" x14ac:dyDescent="0.35">
      <c r="A11" s="5" t="s">
        <v>11</v>
      </c>
      <c r="B11" s="5">
        <v>144.49</v>
      </c>
      <c r="C11" s="6">
        <v>10.96</v>
      </c>
      <c r="D11" s="7">
        <f t="shared" si="0"/>
        <v>15.836104000000002</v>
      </c>
      <c r="E11" s="8">
        <f t="shared" si="1"/>
        <v>0.1096</v>
      </c>
      <c r="F11" s="8">
        <f t="shared" si="2"/>
        <v>3.1178257999999985</v>
      </c>
      <c r="G11" s="8">
        <f t="shared" si="3"/>
        <v>9.7208377191456314</v>
      </c>
    </row>
    <row r="12" spans="1:7" x14ac:dyDescent="0.35">
      <c r="A12" s="5" t="s">
        <v>12</v>
      </c>
      <c r="B12" s="5">
        <v>97.48</v>
      </c>
      <c r="C12" s="6">
        <v>9.81</v>
      </c>
      <c r="D12" s="7">
        <f t="shared" si="0"/>
        <v>9.5627880000000012</v>
      </c>
      <c r="E12" s="8">
        <f t="shared" si="1"/>
        <v>9.8100000000000007E-2</v>
      </c>
      <c r="F12" s="8">
        <f t="shared" si="2"/>
        <v>-3.1554902000000027</v>
      </c>
      <c r="G12" s="8">
        <f t="shared" si="3"/>
        <v>9.9571184022960573</v>
      </c>
    </row>
    <row r="13" spans="1:7" x14ac:dyDescent="0.35">
      <c r="A13" s="5" t="s">
        <v>13</v>
      </c>
      <c r="B13" s="5">
        <v>144.43</v>
      </c>
      <c r="C13" s="6">
        <v>12.28</v>
      </c>
      <c r="D13" s="7">
        <f t="shared" si="0"/>
        <v>17.736004000000001</v>
      </c>
      <c r="E13" s="8">
        <f t="shared" si="1"/>
        <v>0.12280000000000001</v>
      </c>
      <c r="F13" s="8">
        <f t="shared" si="2"/>
        <v>5.0177257999999973</v>
      </c>
      <c r="G13" s="8">
        <f t="shared" si="3"/>
        <v>25.177572203985612</v>
      </c>
    </row>
    <row r="14" spans="1:7" x14ac:dyDescent="0.35">
      <c r="A14" s="5" t="s">
        <v>14</v>
      </c>
      <c r="B14" s="5">
        <v>68.790000000000006</v>
      </c>
      <c r="C14" s="6">
        <v>7.58</v>
      </c>
      <c r="D14" s="7">
        <f t="shared" si="0"/>
        <v>5.2142820000000007</v>
      </c>
      <c r="E14" s="8">
        <f t="shared" si="1"/>
        <v>7.5800000000000006E-2</v>
      </c>
      <c r="F14" s="8">
        <f t="shared" si="2"/>
        <v>-7.5039962000000031</v>
      </c>
      <c r="G14" s="8">
        <f t="shared" si="3"/>
        <v>56.309958969614485</v>
      </c>
    </row>
    <row r="15" spans="1:7" x14ac:dyDescent="0.35">
      <c r="A15" s="5" t="s">
        <v>15</v>
      </c>
      <c r="B15" s="5">
        <v>104.82</v>
      </c>
      <c r="C15" s="6">
        <v>10.94</v>
      </c>
      <c r="D15" s="7">
        <f t="shared" si="0"/>
        <v>11.467307999999997</v>
      </c>
      <c r="E15" s="8">
        <f t="shared" si="1"/>
        <v>0.10939999999999998</v>
      </c>
      <c r="F15" s="8">
        <f t="shared" si="2"/>
        <v>-1.2509702000000065</v>
      </c>
      <c r="G15" s="8">
        <f t="shared" si="3"/>
        <v>1.5649264412880561</v>
      </c>
    </row>
    <row r="16" spans="1:7" x14ac:dyDescent="0.35">
      <c r="A16" s="5" t="s">
        <v>16</v>
      </c>
      <c r="B16" s="5">
        <v>88.64</v>
      </c>
      <c r="C16" s="6">
        <v>9.7899999999999991</v>
      </c>
      <c r="D16" s="7">
        <f t="shared" si="0"/>
        <v>8.6778559999999985</v>
      </c>
      <c r="E16" s="8">
        <f t="shared" si="1"/>
        <v>9.7899999999999987E-2</v>
      </c>
      <c r="F16" s="8">
        <f t="shared" si="2"/>
        <v>-4.0404222000000054</v>
      </c>
      <c r="G16" s="8">
        <f t="shared" si="3"/>
        <v>16.325011554252885</v>
      </c>
    </row>
    <row r="17" spans="1:7" x14ac:dyDescent="0.35">
      <c r="A17" s="5" t="s">
        <v>17</v>
      </c>
      <c r="B17" s="5">
        <v>114.62</v>
      </c>
      <c r="C17" s="6">
        <v>12.87</v>
      </c>
      <c r="D17" s="7">
        <f t="shared" si="0"/>
        <v>14.751594000000001</v>
      </c>
      <c r="E17" s="8">
        <f t="shared" si="1"/>
        <v>0.12870000000000001</v>
      </c>
      <c r="F17" s="8">
        <f t="shared" si="2"/>
        <v>2.0333157999999969</v>
      </c>
      <c r="G17" s="8">
        <f t="shared" si="3"/>
        <v>4.1343731425296273</v>
      </c>
    </row>
    <row r="18" spans="1:7" x14ac:dyDescent="0.35">
      <c r="A18" s="5" t="s">
        <v>18</v>
      </c>
      <c r="B18" s="5">
        <v>162.52000000000001</v>
      </c>
      <c r="C18" s="6">
        <v>11.72</v>
      </c>
      <c r="D18" s="7">
        <f t="shared" si="0"/>
        <v>19.047344000000002</v>
      </c>
      <c r="E18" s="8">
        <f t="shared" si="1"/>
        <v>0.11720000000000001</v>
      </c>
      <c r="F18" s="8">
        <f t="shared" si="2"/>
        <v>6.3290657999999986</v>
      </c>
      <c r="G18" s="8">
        <f t="shared" si="3"/>
        <v>40.05707390072962</v>
      </c>
    </row>
    <row r="19" spans="1:7" x14ac:dyDescent="0.35">
      <c r="A19" s="5" t="s">
        <v>19</v>
      </c>
      <c r="B19" s="5">
        <v>99.61</v>
      </c>
      <c r="C19" s="6">
        <v>11.49</v>
      </c>
      <c r="D19" s="7">
        <f t="shared" si="0"/>
        <v>11.445189000000001</v>
      </c>
      <c r="E19" s="8">
        <f t="shared" si="1"/>
        <v>0.11490000000000002</v>
      </c>
      <c r="F19" s="8">
        <f t="shared" si="2"/>
        <v>-1.2730892000000029</v>
      </c>
      <c r="G19" s="8">
        <f t="shared" si="3"/>
        <v>1.6207561111566475</v>
      </c>
    </row>
    <row r="20" spans="1:7" x14ac:dyDescent="0.35">
      <c r="A20" s="5" t="s">
        <v>20</v>
      </c>
      <c r="B20" s="5">
        <v>91.97</v>
      </c>
      <c r="C20" s="6">
        <v>14.17</v>
      </c>
      <c r="D20" s="7">
        <f t="shared" si="0"/>
        <v>13.032148999999999</v>
      </c>
      <c r="E20" s="8">
        <f t="shared" si="1"/>
        <v>0.14169999999999999</v>
      </c>
      <c r="F20" s="8">
        <f t="shared" si="2"/>
        <v>0.31387079999999479</v>
      </c>
      <c r="G20" s="8">
        <f t="shared" si="3"/>
        <v>9.8514879092636731E-2</v>
      </c>
    </row>
    <row r="21" spans="1:7" x14ac:dyDescent="0.35">
      <c r="A21" s="5" t="s">
        <v>21</v>
      </c>
      <c r="B21" s="5">
        <v>118.18</v>
      </c>
      <c r="C21" s="6">
        <v>9.31</v>
      </c>
      <c r="D21" s="7">
        <f t="shared" si="0"/>
        <v>11.002558000000001</v>
      </c>
      <c r="E21" s="8">
        <f t="shared" si="1"/>
        <v>9.3100000000000002E-2</v>
      </c>
      <c r="F21" s="8">
        <f t="shared" si="2"/>
        <v>-1.7157202000000034</v>
      </c>
      <c r="G21" s="8">
        <f t="shared" si="3"/>
        <v>2.9436958046880517</v>
      </c>
    </row>
    <row r="22" spans="1:7" x14ac:dyDescent="0.35">
      <c r="A22" s="5" t="s">
        <v>22</v>
      </c>
      <c r="B22" s="5">
        <v>65.16</v>
      </c>
      <c r="C22" s="6">
        <v>7.24</v>
      </c>
      <c r="D22" s="7">
        <f t="shared" si="0"/>
        <v>4.7175839999999996</v>
      </c>
      <c r="E22" s="8">
        <f t="shared" si="1"/>
        <v>7.2399999999999992E-2</v>
      </c>
      <c r="F22" s="8">
        <f t="shared" si="2"/>
        <v>-8.0006942000000052</v>
      </c>
      <c r="G22" s="8">
        <f t="shared" si="3"/>
        <v>64.011107681913728</v>
      </c>
    </row>
    <row r="23" spans="1:7" x14ac:dyDescent="0.35">
      <c r="A23" s="5" t="s">
        <v>23</v>
      </c>
      <c r="B23" s="5">
        <v>86.75</v>
      </c>
      <c r="C23" s="6">
        <v>6.61</v>
      </c>
      <c r="D23" s="7">
        <f t="shared" si="0"/>
        <v>5.7341750000000005</v>
      </c>
      <c r="E23" s="8">
        <f t="shared" si="1"/>
        <v>6.6100000000000006E-2</v>
      </c>
      <c r="F23" s="8">
        <f t="shared" si="2"/>
        <v>-6.9841032000000034</v>
      </c>
      <c r="G23" s="8">
        <f t="shared" si="3"/>
        <v>48.777697508250284</v>
      </c>
    </row>
    <row r="24" spans="1:7" x14ac:dyDescent="0.35">
      <c r="A24" s="5" t="s">
        <v>24</v>
      </c>
      <c r="B24" s="5">
        <v>143.26</v>
      </c>
      <c r="C24" s="6">
        <v>12.01</v>
      </c>
      <c r="D24" s="7">
        <f t="shared" si="0"/>
        <v>17.205525999999999</v>
      </c>
      <c r="E24" s="8">
        <f t="shared" si="1"/>
        <v>0.1201</v>
      </c>
      <c r="F24" s="8">
        <f t="shared" si="2"/>
        <v>4.4872477999999951</v>
      </c>
      <c r="G24" s="8">
        <f t="shared" si="3"/>
        <v>20.135392818604796</v>
      </c>
    </row>
    <row r="25" spans="1:7" x14ac:dyDescent="0.35">
      <c r="A25" s="5" t="s">
        <v>25</v>
      </c>
      <c r="B25" s="5">
        <v>78.349999999999994</v>
      </c>
      <c r="C25" s="6">
        <v>7.17</v>
      </c>
      <c r="D25" s="7">
        <f t="shared" si="0"/>
        <v>5.6176950000000003</v>
      </c>
      <c r="E25" s="8">
        <f t="shared" si="1"/>
        <v>7.1700000000000014E-2</v>
      </c>
      <c r="F25" s="8">
        <f t="shared" si="2"/>
        <v>-7.1005832000000035</v>
      </c>
      <c r="G25" s="8">
        <f t="shared" si="3"/>
        <v>50.418281780122292</v>
      </c>
    </row>
    <row r="26" spans="1:7" x14ac:dyDescent="0.35">
      <c r="A26" s="5" t="s">
        <v>26</v>
      </c>
      <c r="B26" s="5">
        <v>72.959999999999994</v>
      </c>
      <c r="C26" s="6">
        <v>9.26</v>
      </c>
      <c r="D26" s="7">
        <f t="shared" si="0"/>
        <v>6.7560959999999985</v>
      </c>
      <c r="E26" s="8">
        <f t="shared" si="1"/>
        <v>9.2599999999999988E-2</v>
      </c>
      <c r="F26" s="8">
        <f t="shared" si="2"/>
        <v>-5.9621822000000053</v>
      </c>
      <c r="G26" s="8">
        <f t="shared" si="3"/>
        <v>35.547616585996906</v>
      </c>
    </row>
    <row r="27" spans="1:7" x14ac:dyDescent="0.35">
      <c r="A27" s="5" t="s">
        <v>27</v>
      </c>
      <c r="B27" s="5">
        <v>92.64</v>
      </c>
      <c r="C27" s="6">
        <v>9.39</v>
      </c>
      <c r="D27" s="7">
        <f t="shared" si="0"/>
        <v>8.6988960000000013</v>
      </c>
      <c r="E27" s="8">
        <f t="shared" si="1"/>
        <v>9.3900000000000011E-2</v>
      </c>
      <c r="F27" s="8">
        <f t="shared" si="2"/>
        <v>-4.0193822000000026</v>
      </c>
      <c r="G27" s="8">
        <f t="shared" si="3"/>
        <v>16.155433269676859</v>
      </c>
    </row>
    <row r="28" spans="1:7" x14ac:dyDescent="0.35">
      <c r="A28" s="5" t="s">
        <v>28</v>
      </c>
      <c r="B28" s="5">
        <v>69.97</v>
      </c>
      <c r="C28" s="6">
        <v>8.92</v>
      </c>
      <c r="D28" s="7">
        <f t="shared" si="0"/>
        <v>6.2413239999999996</v>
      </c>
      <c r="E28" s="8">
        <f t="shared" si="1"/>
        <v>8.9200000000000002E-2</v>
      </c>
      <c r="F28" s="8">
        <f t="shared" si="2"/>
        <v>-6.4769542000000042</v>
      </c>
      <c r="G28" s="8">
        <f t="shared" si="3"/>
        <v>41.950935708897696</v>
      </c>
    </row>
    <row r="29" spans="1:7" x14ac:dyDescent="0.35">
      <c r="A29" s="5" t="s">
        <v>29</v>
      </c>
      <c r="B29" s="5">
        <v>87.93</v>
      </c>
      <c r="C29" s="6">
        <v>9.67</v>
      </c>
      <c r="D29" s="7">
        <f t="shared" si="0"/>
        <v>8.5028310000000005</v>
      </c>
      <c r="E29" s="8">
        <f t="shared" si="1"/>
        <v>9.6699999999999994E-2</v>
      </c>
      <c r="F29" s="8">
        <f t="shared" si="2"/>
        <v>-4.2154472000000034</v>
      </c>
      <c r="G29" s="8">
        <f t="shared" si="3"/>
        <v>17.76999509598787</v>
      </c>
    </row>
    <row r="30" spans="1:7" x14ac:dyDescent="0.35">
      <c r="A30" s="5" t="s">
        <v>30</v>
      </c>
      <c r="B30" s="5">
        <v>195.57</v>
      </c>
      <c r="C30" s="6">
        <v>15.03</v>
      </c>
      <c r="D30" s="7">
        <f t="shared" si="0"/>
        <v>29.394170999999996</v>
      </c>
      <c r="E30" s="8">
        <f t="shared" si="1"/>
        <v>0.15029999999999999</v>
      </c>
      <c r="F30" s="8">
        <f t="shared" si="2"/>
        <v>16.675892799999993</v>
      </c>
      <c r="G30" s="8">
        <f t="shared" si="3"/>
        <v>278.08540067709157</v>
      </c>
    </row>
    <row r="31" spans="1:7" x14ac:dyDescent="0.35">
      <c r="A31" s="5" t="s">
        <v>31</v>
      </c>
      <c r="B31" s="5">
        <v>105.03</v>
      </c>
      <c r="C31" s="6">
        <v>7.3</v>
      </c>
      <c r="D31" s="7">
        <f t="shared" si="0"/>
        <v>7.6671899999999997</v>
      </c>
      <c r="E31" s="8">
        <f t="shared" si="1"/>
        <v>7.2999999999999995E-2</v>
      </c>
      <c r="F31" s="8">
        <f t="shared" si="2"/>
        <v>-5.0510882000000041</v>
      </c>
      <c r="G31" s="8">
        <f t="shared" si="3"/>
        <v>25.51349200417928</v>
      </c>
    </row>
    <row r="32" spans="1:7" x14ac:dyDescent="0.35">
      <c r="A32" s="5" t="s">
        <v>32</v>
      </c>
      <c r="B32" s="5">
        <v>286.14</v>
      </c>
      <c r="C32" s="6">
        <v>15.78</v>
      </c>
      <c r="D32" s="7">
        <f t="shared" si="0"/>
        <v>45.152891999999994</v>
      </c>
      <c r="E32" s="8">
        <f t="shared" si="1"/>
        <v>0.1578</v>
      </c>
      <c r="F32" s="8">
        <f t="shared" si="2"/>
        <v>32.434613799999994</v>
      </c>
      <c r="G32" s="8">
        <f t="shared" si="3"/>
        <v>1052.0041723551501</v>
      </c>
    </row>
    <row r="33" spans="1:7" x14ac:dyDescent="0.35">
      <c r="A33" s="5" t="s">
        <v>11</v>
      </c>
      <c r="B33" s="5">
        <v>7.45</v>
      </c>
      <c r="C33" s="6">
        <v>6.11</v>
      </c>
      <c r="D33" s="7">
        <f t="shared" si="0"/>
        <v>0.45519500000000002</v>
      </c>
      <c r="E33" s="8">
        <f t="shared" si="1"/>
        <v>6.1100000000000002E-2</v>
      </c>
      <c r="F33" s="8">
        <f t="shared" si="2"/>
        <v>-12.263083200000004</v>
      </c>
      <c r="G33" s="8">
        <f t="shared" si="3"/>
        <v>150.38320957012235</v>
      </c>
    </row>
    <row r="34" spans="1:7" x14ac:dyDescent="0.35">
      <c r="A34" s="5" t="s">
        <v>33</v>
      </c>
      <c r="B34" s="5">
        <v>43.89</v>
      </c>
      <c r="C34" s="6">
        <v>8.44</v>
      </c>
      <c r="D34" s="7">
        <f t="shared" si="0"/>
        <v>3.7043159999999999</v>
      </c>
      <c r="E34" s="8">
        <f t="shared" si="1"/>
        <v>8.4400000000000003E-2</v>
      </c>
      <c r="F34" s="8">
        <f t="shared" si="2"/>
        <v>-9.0139622000000035</v>
      </c>
      <c r="G34" s="8">
        <f t="shared" si="3"/>
        <v>81.251514543028904</v>
      </c>
    </row>
    <row r="35" spans="1:7" x14ac:dyDescent="0.35">
      <c r="A35" s="5" t="s">
        <v>34</v>
      </c>
      <c r="B35" s="5">
        <v>9.41</v>
      </c>
      <c r="C35" s="6">
        <v>4.66</v>
      </c>
      <c r="D35" s="7">
        <f t="shared" si="0"/>
        <v>0.43850600000000001</v>
      </c>
      <c r="E35" s="8">
        <f t="shared" si="1"/>
        <v>4.6600000000000003E-2</v>
      </c>
      <c r="F35" s="8">
        <f t="shared" si="2"/>
        <v>-12.279772200000004</v>
      </c>
      <c r="G35" s="8">
        <f t="shared" si="3"/>
        <v>150.79280528389293</v>
      </c>
    </row>
    <row r="36" spans="1:7" x14ac:dyDescent="0.35">
      <c r="A36" s="5" t="s">
        <v>25</v>
      </c>
      <c r="B36" s="5">
        <v>80.53</v>
      </c>
      <c r="C36" s="6">
        <v>4.2300000000000004</v>
      </c>
      <c r="D36" s="7">
        <f t="shared" si="0"/>
        <v>3.4064190000000001</v>
      </c>
      <c r="E36" s="8">
        <f t="shared" si="1"/>
        <v>4.2299999999999997E-2</v>
      </c>
      <c r="F36" s="8">
        <f t="shared" si="2"/>
        <v>-9.3118592000000042</v>
      </c>
      <c r="G36" s="8">
        <f t="shared" si="3"/>
        <v>86.710721760624722</v>
      </c>
    </row>
    <row r="37" spans="1:7" x14ac:dyDescent="0.35">
      <c r="A37" s="5" t="s">
        <v>29</v>
      </c>
      <c r="B37" s="5">
        <v>21.36</v>
      </c>
      <c r="C37" s="6">
        <v>6.81</v>
      </c>
      <c r="D37" s="7">
        <f t="shared" si="0"/>
        <v>1.4546159999999997</v>
      </c>
      <c r="E37" s="8">
        <f t="shared" si="1"/>
        <v>6.8099999999999994E-2</v>
      </c>
      <c r="F37" s="8">
        <f t="shared" si="2"/>
        <v>-11.263662200000004</v>
      </c>
      <c r="G37" s="8">
        <f t="shared" si="3"/>
        <v>126.87008615570893</v>
      </c>
    </row>
    <row r="38" spans="1:7" x14ac:dyDescent="0.35">
      <c r="A38" s="5" t="s">
        <v>31</v>
      </c>
      <c r="B38" s="5">
        <v>19.22</v>
      </c>
      <c r="C38" s="6">
        <v>7.68</v>
      </c>
      <c r="D38" s="7">
        <f t="shared" si="0"/>
        <v>1.4760959999999996</v>
      </c>
      <c r="E38" s="8">
        <f t="shared" si="1"/>
        <v>7.6799999999999979E-2</v>
      </c>
      <c r="F38" s="8">
        <f t="shared" si="2"/>
        <v>-11.242182200000004</v>
      </c>
      <c r="G38" s="8">
        <f t="shared" si="3"/>
        <v>126.38666061799692</v>
      </c>
    </row>
    <row r="39" spans="1:7" x14ac:dyDescent="0.35">
      <c r="C39" s="9" t="s">
        <v>35</v>
      </c>
      <c r="D39" s="10">
        <f>SUM(D4:D38)</f>
        <v>445.13973700000014</v>
      </c>
    </row>
    <row r="40" spans="1:7" x14ac:dyDescent="0.35">
      <c r="C40" s="9" t="s">
        <v>36</v>
      </c>
      <c r="D40" s="11">
        <f>AVERAGE(D4:D38)</f>
        <v>12.718278200000004</v>
      </c>
    </row>
    <row r="41" spans="1:7" x14ac:dyDescent="0.35">
      <c r="C41" s="9" t="s">
        <v>37</v>
      </c>
      <c r="D41" s="11">
        <f>SUM(E4:E38)</f>
        <v>3.6389</v>
      </c>
    </row>
    <row r="42" spans="1:7" x14ac:dyDescent="0.35">
      <c r="C42" s="9" t="s">
        <v>0</v>
      </c>
      <c r="D42" s="11">
        <f>D41/35</f>
        <v>0.10396857142857142</v>
      </c>
    </row>
    <row r="43" spans="1:7" x14ac:dyDescent="0.35">
      <c r="C43" s="9" t="s">
        <v>38</v>
      </c>
      <c r="D43" s="10">
        <f>SUM(G4:G38)</f>
        <v>3382.276766091587</v>
      </c>
    </row>
    <row r="44" spans="1:7" x14ac:dyDescent="0.35">
      <c r="C44" s="9" t="s">
        <v>39</v>
      </c>
      <c r="D44" s="11">
        <f>D43/34</f>
        <v>99.478728414458445</v>
      </c>
    </row>
    <row r="45" spans="1:7" x14ac:dyDescent="0.35">
      <c r="C45" s="9" t="s">
        <v>40</v>
      </c>
      <c r="D45" s="11">
        <f>1-D42</f>
        <v>0.89603142857142859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2026-05-25T15:05:11Z</dcterms:created>
  <dcterms:modified xsi:type="dcterms:W3CDTF">2026-05-27T03:59:48Z</dcterms:modified>
</cp:coreProperties>
</file>